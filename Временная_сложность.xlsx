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oderator\source\repos\КурсачАиСД\"/>
    </mc:Choice>
  </mc:AlternateContent>
  <xr:revisionPtr revIDLastSave="0" documentId="13_ncr:1_{3D974F6D-26D3-421A-AB0C-27E6D5788E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" i="1" l="1"/>
  <c r="AH21" i="1"/>
  <c r="AH22" i="1" s="1"/>
  <c r="AH23" i="1" s="1"/>
  <c r="AH24" i="1" s="1"/>
  <c r="AH25" i="1" s="1"/>
  <c r="AH26" i="1" s="1"/>
  <c r="AI25" i="1"/>
  <c r="AI24" i="1"/>
  <c r="AI23" i="1"/>
  <c r="AI22" i="1"/>
  <c r="AI21" i="1"/>
  <c r="AI20" i="1"/>
  <c r="AC21" i="1"/>
  <c r="AC22" i="1" s="1"/>
  <c r="AC23" i="1" s="1"/>
  <c r="AC24" i="1" s="1"/>
  <c r="AC25" i="1" s="1"/>
  <c r="AC26" i="1" s="1"/>
  <c r="AD25" i="1"/>
  <c r="AD24" i="1"/>
  <c r="AD23" i="1"/>
  <c r="AD22" i="1"/>
  <c r="AD21" i="1"/>
  <c r="AD20" i="1"/>
  <c r="X21" i="1"/>
  <c r="X22" i="1" s="1"/>
  <c r="X23" i="1" s="1"/>
  <c r="X24" i="1" s="1"/>
  <c r="X25" i="1" s="1"/>
  <c r="X26" i="1" s="1"/>
  <c r="Y25" i="1"/>
  <c r="Y24" i="1"/>
  <c r="Y23" i="1"/>
  <c r="Y22" i="1"/>
  <c r="Y21" i="1"/>
  <c r="Y20" i="1"/>
  <c r="AM4" i="1"/>
  <c r="AM5" i="1" s="1"/>
  <c r="AM6" i="1" s="1"/>
  <c r="AM7" i="1" s="1"/>
  <c r="AM8" i="1" s="1"/>
  <c r="AM3" i="1"/>
  <c r="S21" i="1"/>
  <c r="S22" i="1" s="1"/>
  <c r="S23" i="1" s="1"/>
  <c r="S24" i="1" s="1"/>
  <c r="S25" i="1" s="1"/>
  <c r="S26" i="1" s="1"/>
  <c r="T25" i="1"/>
  <c r="T24" i="1"/>
  <c r="T23" i="1"/>
  <c r="T22" i="1"/>
  <c r="T21" i="1"/>
  <c r="T20" i="1"/>
  <c r="N14" i="1"/>
  <c r="N15" i="1" s="1"/>
  <c r="N16" i="1" s="1"/>
  <c r="N17" i="1" s="1"/>
  <c r="N18" i="1" s="1"/>
  <c r="N13" i="1"/>
  <c r="O17" i="1"/>
  <c r="O16" i="1"/>
  <c r="O15" i="1"/>
  <c r="O14" i="1"/>
  <c r="O13" i="1"/>
  <c r="O12" i="1"/>
  <c r="I14" i="1"/>
  <c r="I15" i="1" s="1"/>
  <c r="I16" i="1" s="1"/>
  <c r="I17" i="1" s="1"/>
  <c r="I18" i="1" s="1"/>
  <c r="I13" i="1"/>
  <c r="I12" i="1"/>
  <c r="J17" i="1"/>
  <c r="J16" i="1"/>
  <c r="J15" i="1"/>
  <c r="J14" i="1"/>
  <c r="J13" i="1"/>
  <c r="J12" i="1"/>
  <c r="E17" i="1"/>
  <c r="E16" i="1"/>
  <c r="E15" i="1"/>
  <c r="E14" i="1"/>
  <c r="E13" i="1"/>
  <c r="D13" i="1"/>
  <c r="D14" i="1" s="1"/>
  <c r="D15" i="1" s="1"/>
  <c r="D16" i="1" s="1"/>
  <c r="D17" i="1" s="1"/>
  <c r="D18" i="1" s="1"/>
  <c r="E12" i="1"/>
  <c r="AL5" i="1"/>
  <c r="AN4" i="1" s="1"/>
  <c r="AL2" i="1"/>
  <c r="AL3" i="1"/>
  <c r="AL4" i="1"/>
  <c r="AL6" i="1"/>
  <c r="AN6" i="1" s="1"/>
  <c r="AL7" i="1"/>
  <c r="AL8" i="1"/>
  <c r="AN2" i="1"/>
  <c r="AN3" i="1"/>
  <c r="U13" i="1"/>
  <c r="U14" i="1"/>
  <c r="U15" i="1"/>
  <c r="U16" i="1"/>
  <c r="U17" i="1"/>
  <c r="U18" i="1"/>
  <c r="U12" i="1"/>
  <c r="AB14" i="1"/>
  <c r="AB13" i="1"/>
  <c r="AB12" i="1"/>
  <c r="AI7" i="1"/>
  <c r="AI6" i="1"/>
  <c r="AI5" i="1"/>
  <c r="AI2" i="1"/>
  <c r="AD7" i="1"/>
  <c r="AD6" i="1"/>
  <c r="AD5" i="1"/>
  <c r="AD4" i="1"/>
  <c r="AD3" i="1"/>
  <c r="AD2" i="1"/>
  <c r="Y7" i="1"/>
  <c r="Y6" i="1"/>
  <c r="Y5" i="1"/>
  <c r="Y4" i="1"/>
  <c r="Y3" i="1"/>
  <c r="T7" i="1"/>
  <c r="T6" i="1"/>
  <c r="T5" i="1"/>
  <c r="T4" i="1"/>
  <c r="T3" i="1"/>
  <c r="T2" i="1"/>
  <c r="O7" i="1"/>
  <c r="J7" i="1"/>
  <c r="E7" i="1"/>
  <c r="O6" i="1"/>
  <c r="J6" i="1"/>
  <c r="E6" i="1"/>
  <c r="O5" i="1"/>
  <c r="J5" i="1"/>
  <c r="E5" i="1"/>
  <c r="O4" i="1"/>
  <c r="J4" i="1"/>
  <c r="E4" i="1"/>
  <c r="O3" i="1"/>
  <c r="J3" i="1"/>
  <c r="E3" i="1"/>
  <c r="O2" i="1"/>
  <c r="J2" i="1"/>
  <c r="E2" i="1"/>
  <c r="AI3" i="1"/>
  <c r="AI4" i="1"/>
  <c r="AN7" i="1" l="1"/>
  <c r="AN5" i="1"/>
</calcChain>
</file>

<file path=xl/sharedStrings.xml><?xml version="1.0" encoding="utf-8"?>
<sst xmlns="http://schemas.openxmlformats.org/spreadsheetml/2006/main" count="30" uniqueCount="11">
  <si>
    <t>Прямой ход метода Гаусса</t>
  </si>
  <si>
    <t>Ранг матрицы коффициентов</t>
  </si>
  <si>
    <t>Ранг расширенной матрицы</t>
  </si>
  <si>
    <t>Удаление нулевых строк</t>
  </si>
  <si>
    <t>O(n^3)</t>
  </si>
  <si>
    <t>O(n^2)</t>
  </si>
  <si>
    <t>Обратный ход метода Гаусса</t>
  </si>
  <si>
    <t>Вывод единственного решения</t>
  </si>
  <si>
    <t>Вывод бесконечного количества решений</t>
  </si>
  <si>
    <t>O(n)</t>
  </si>
  <si>
    <t>Перестановка нулевых столбцов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</si>
</sst>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theme="5" tint="0.599963377788628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0" borderId="8" xfId="0" applyBorder="1"/>
    <xf numFmtId="0" fontId="0" fillId="2" borderId="9" xfId="0" applyFill="1" applyBorder="1"/>
    <xf numFmtId="0" fontId="0" fillId="0" borderId="10" xfId="0" applyBorder="1"/>
    <xf numFmtId="0" fontId="0" fillId="0" borderId="11" xfId="0" applyBorder="1"/>
    <xf numFmtId="0" fontId="0" fillId="3" borderId="12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1" xfId="0" applyFill="1" applyBorder="1"/>
    <xf numFmtId="0" fontId="0" fillId="0" borderId="0" xfId="0" applyFill="1" applyBorder="1"/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Экспериментальный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</c:numCache>
            </c:numRef>
          </c:xVal>
          <c:yVal>
            <c:numRef>
              <c:f>Sheet1!$H$12:$H$18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33</c:v>
                </c:pt>
                <c:pt idx="3">
                  <c:v>120</c:v>
                </c:pt>
                <c:pt idx="4">
                  <c:v>447</c:v>
                </c:pt>
                <c:pt idx="5">
                  <c:v>1729</c:v>
                </c:pt>
                <c:pt idx="6">
                  <c:v>6683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5C-4E40-B21B-C33A078A7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31200"/>
        <c:axId val="269005408"/>
      </c:scatterChart>
      <c:scatterChart>
        <c:scatterStyle val="smoothMarker"/>
        <c:varyColors val="0"/>
        <c:ser>
          <c:idx val="1"/>
          <c:order val="1"/>
          <c:tx>
            <c:v>Эталонный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</c:numCache>
            </c:numRef>
          </c:xVal>
          <c:yVal>
            <c:numRef>
              <c:f>Sheet1!$I$12:$I$18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32</c:v>
                </c:pt>
                <c:pt idx="3">
                  <c:v>128</c:v>
                </c:pt>
                <c:pt idx="4">
                  <c:v>512</c:v>
                </c:pt>
                <c:pt idx="5">
                  <c:v>2048</c:v>
                </c:pt>
                <c:pt idx="6">
                  <c:v>8192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5C-4E40-B21B-C33A078A7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31200"/>
        <c:axId val="269005408"/>
      </c:scatterChart>
      <c:valAx>
        <c:axId val="26903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005408"/>
        <c:crosses val="autoZero"/>
        <c:crossBetween val="midCat"/>
      </c:valAx>
      <c:valAx>
        <c:axId val="26900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03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Экспериментальный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</c:numCache>
            </c:numRef>
          </c:xVal>
          <c:yVal>
            <c:numRef>
              <c:f>Sheet1!$M$12:$M$18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28</c:v>
                </c:pt>
                <c:pt idx="3">
                  <c:v>109</c:v>
                </c:pt>
                <c:pt idx="4">
                  <c:v>439</c:v>
                </c:pt>
                <c:pt idx="5">
                  <c:v>1727</c:v>
                </c:pt>
                <c:pt idx="6">
                  <c:v>6612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63-447C-AA3F-3201619A8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31200"/>
        <c:axId val="269005408"/>
      </c:scatterChart>
      <c:scatterChart>
        <c:scatterStyle val="smoothMarker"/>
        <c:varyColors val="0"/>
        <c:ser>
          <c:idx val="1"/>
          <c:order val="1"/>
          <c:tx>
            <c:v>Эталонный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</c:numCache>
            </c:numRef>
          </c:xVal>
          <c:yVal>
            <c:numRef>
              <c:f>Sheet1!$N$12:$N$18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32</c:v>
                </c:pt>
                <c:pt idx="3">
                  <c:v>128</c:v>
                </c:pt>
                <c:pt idx="4">
                  <c:v>512</c:v>
                </c:pt>
                <c:pt idx="5">
                  <c:v>2048</c:v>
                </c:pt>
                <c:pt idx="6">
                  <c:v>8192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63-447C-AA3F-3201619A8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31200"/>
        <c:axId val="269005408"/>
      </c:scatterChart>
      <c:valAx>
        <c:axId val="26903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005408"/>
        <c:crosses val="autoZero"/>
        <c:crossBetween val="midCat"/>
      </c:valAx>
      <c:valAx>
        <c:axId val="26900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03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Экспериментальный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</c:numCache>
            </c:numRef>
          </c:xVal>
          <c:yVal>
            <c:numRef>
              <c:f>Sheet1!$R$20:$R$26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28</c:v>
                </c:pt>
                <c:pt idx="3">
                  <c:v>106</c:v>
                </c:pt>
                <c:pt idx="4">
                  <c:v>433</c:v>
                </c:pt>
                <c:pt idx="5">
                  <c:v>1779</c:v>
                </c:pt>
                <c:pt idx="6">
                  <c:v>6897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6F-4014-AC7F-1BF09B696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31200"/>
        <c:axId val="269005408"/>
      </c:scatterChart>
      <c:scatterChart>
        <c:scatterStyle val="smoothMarker"/>
        <c:varyColors val="0"/>
        <c:ser>
          <c:idx val="1"/>
          <c:order val="1"/>
          <c:tx>
            <c:v>Эталонный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</c:numCache>
            </c:numRef>
          </c:xVal>
          <c:yVal>
            <c:numRef>
              <c:f>Sheet1!$S$20:$S$26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32</c:v>
                </c:pt>
                <c:pt idx="3">
                  <c:v>128</c:v>
                </c:pt>
                <c:pt idx="4">
                  <c:v>512</c:v>
                </c:pt>
                <c:pt idx="5">
                  <c:v>2048</c:v>
                </c:pt>
                <c:pt idx="6">
                  <c:v>8192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6F-4014-AC7F-1BF09B696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31200"/>
        <c:axId val="269005408"/>
      </c:scatterChart>
      <c:valAx>
        <c:axId val="26903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005408"/>
        <c:crosses val="autoZero"/>
        <c:crossBetween val="midCat"/>
      </c:valAx>
      <c:valAx>
        <c:axId val="26900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03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Экспериментальный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</c:numCache>
            </c:numRef>
          </c:xVal>
          <c:yVal>
            <c:numRef>
              <c:f>Sheet1!$AL$2:$AL$8</c:f>
              <c:numCache>
                <c:formatCode>General</c:formatCode>
                <c:ptCount val="7"/>
                <c:pt idx="0">
                  <c:v>8</c:v>
                </c:pt>
                <c:pt idx="1">
                  <c:v>32</c:v>
                </c:pt>
                <c:pt idx="2">
                  <c:v>112</c:v>
                </c:pt>
                <c:pt idx="3">
                  <c:v>444</c:v>
                </c:pt>
                <c:pt idx="4">
                  <c:v>1732</c:v>
                </c:pt>
                <c:pt idx="5">
                  <c:v>7116</c:v>
                </c:pt>
                <c:pt idx="6">
                  <c:v>27588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15-4E03-8A37-2751D92D2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31200"/>
        <c:axId val="269005408"/>
      </c:scatterChart>
      <c:scatterChart>
        <c:scatterStyle val="smoothMarker"/>
        <c:varyColors val="0"/>
        <c:ser>
          <c:idx val="1"/>
          <c:order val="1"/>
          <c:tx>
            <c:v>Эталонный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</c:numCache>
            </c:numRef>
          </c:xVal>
          <c:yVal>
            <c:numRef>
              <c:f>Sheet1!$AM$2:$AM$8</c:f>
              <c:numCache>
                <c:formatCode>General</c:formatCode>
                <c:ptCount val="7"/>
                <c:pt idx="0">
                  <c:v>8</c:v>
                </c:pt>
                <c:pt idx="1">
                  <c:v>32</c:v>
                </c:pt>
                <c:pt idx="2">
                  <c:v>128</c:v>
                </c:pt>
                <c:pt idx="3">
                  <c:v>512</c:v>
                </c:pt>
                <c:pt idx="4">
                  <c:v>2048</c:v>
                </c:pt>
                <c:pt idx="5">
                  <c:v>8192</c:v>
                </c:pt>
                <c:pt idx="6">
                  <c:v>32768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15-4E03-8A37-2751D92D2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31200"/>
        <c:axId val="269005408"/>
      </c:scatterChart>
      <c:valAx>
        <c:axId val="26903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005408"/>
        <c:crosses val="autoZero"/>
        <c:crossBetween val="midCat"/>
      </c:valAx>
      <c:valAx>
        <c:axId val="26900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03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Экспериментальный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</c:numCache>
            </c:numRef>
          </c:xVal>
          <c:yVal>
            <c:numRef>
              <c:f>Sheet1!$W$20:$W$26</c:f>
              <c:numCache>
                <c:formatCode>General</c:formatCode>
                <c:ptCount val="7"/>
                <c:pt idx="0">
                  <c:v>1767</c:v>
                </c:pt>
                <c:pt idx="1">
                  <c:v>13655</c:v>
                </c:pt>
                <c:pt idx="2">
                  <c:v>113276</c:v>
                </c:pt>
                <c:pt idx="3">
                  <c:v>892759</c:v>
                </c:pt>
                <c:pt idx="4">
                  <c:v>7294667</c:v>
                </c:pt>
                <c:pt idx="5">
                  <c:v>57478153</c:v>
                </c:pt>
                <c:pt idx="6">
                  <c:v>458272762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D-4E39-A52A-7A186A7DB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31200"/>
        <c:axId val="269005408"/>
      </c:scatterChart>
      <c:scatterChart>
        <c:scatterStyle val="smoothMarker"/>
        <c:varyColors val="0"/>
        <c:ser>
          <c:idx val="1"/>
          <c:order val="1"/>
          <c:tx>
            <c:v>Эталонный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</c:numCache>
            </c:numRef>
          </c:xVal>
          <c:yVal>
            <c:numRef>
              <c:f>Sheet1!$X$20:$X$26</c:f>
              <c:numCache>
                <c:formatCode>General</c:formatCode>
                <c:ptCount val="7"/>
                <c:pt idx="0">
                  <c:v>1767</c:v>
                </c:pt>
                <c:pt idx="1">
                  <c:v>14136</c:v>
                </c:pt>
                <c:pt idx="2">
                  <c:v>113088</c:v>
                </c:pt>
                <c:pt idx="3">
                  <c:v>904704</c:v>
                </c:pt>
                <c:pt idx="4">
                  <c:v>7237632</c:v>
                </c:pt>
                <c:pt idx="5">
                  <c:v>57901056</c:v>
                </c:pt>
                <c:pt idx="6">
                  <c:v>463208448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CD-4E39-A52A-7A186A7DB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31200"/>
        <c:axId val="269005408"/>
      </c:scatterChart>
      <c:valAx>
        <c:axId val="26903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005408"/>
        <c:crosses val="autoZero"/>
        <c:crossBetween val="midCat"/>
      </c:valAx>
      <c:valAx>
        <c:axId val="26900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03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Экспериментальный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</c:numCache>
            </c:numRef>
          </c:xVal>
          <c:yVal>
            <c:numRef>
              <c:f>Sheet1!$AB$20:$AB$26</c:f>
              <c:numCache>
                <c:formatCode>General</c:formatCode>
                <c:ptCount val="7"/>
                <c:pt idx="0">
                  <c:v>321</c:v>
                </c:pt>
                <c:pt idx="1">
                  <c:v>497.75</c:v>
                </c:pt>
                <c:pt idx="2">
                  <c:v>943.75</c:v>
                </c:pt>
                <c:pt idx="3">
                  <c:v>1788.5</c:v>
                </c:pt>
                <c:pt idx="4">
                  <c:v>3470</c:v>
                </c:pt>
                <c:pt idx="5">
                  <c:v>6991.25</c:v>
                </c:pt>
                <c:pt idx="6">
                  <c:v>15345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A5-4951-B047-A5E522856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31200"/>
        <c:axId val="269005408"/>
      </c:scatterChart>
      <c:scatterChart>
        <c:scatterStyle val="smoothMarker"/>
        <c:varyColors val="0"/>
        <c:ser>
          <c:idx val="1"/>
          <c:order val="1"/>
          <c:tx>
            <c:v>Эталонный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</c:numCache>
            </c:numRef>
          </c:xVal>
          <c:yVal>
            <c:numRef>
              <c:f>Sheet1!$AC$20:$AC$26</c:f>
              <c:numCache>
                <c:formatCode>General</c:formatCode>
                <c:ptCount val="7"/>
                <c:pt idx="0">
                  <c:v>321</c:v>
                </c:pt>
                <c:pt idx="1">
                  <c:v>642</c:v>
                </c:pt>
                <c:pt idx="2">
                  <c:v>1284</c:v>
                </c:pt>
                <c:pt idx="3">
                  <c:v>2568</c:v>
                </c:pt>
                <c:pt idx="4">
                  <c:v>5136</c:v>
                </c:pt>
                <c:pt idx="5">
                  <c:v>10272</c:v>
                </c:pt>
                <c:pt idx="6">
                  <c:v>20544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A5-4951-B047-A5E522856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31200"/>
        <c:axId val="269005408"/>
      </c:scatterChart>
      <c:valAx>
        <c:axId val="26903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005408"/>
        <c:crosses val="autoZero"/>
        <c:crossBetween val="midCat"/>
      </c:valAx>
      <c:valAx>
        <c:axId val="26900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03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Экспериментальный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</c:numCache>
            </c:numRef>
          </c:xVal>
          <c:yVal>
            <c:numRef>
              <c:f>Sheet1!$AG$20:$AG$26</c:f>
              <c:numCache>
                <c:formatCode>General</c:formatCode>
                <c:ptCount val="7"/>
                <c:pt idx="0">
                  <c:v>2025</c:v>
                </c:pt>
                <c:pt idx="1">
                  <c:v>7249</c:v>
                </c:pt>
                <c:pt idx="2">
                  <c:v>27527.200000000001</c:v>
                </c:pt>
                <c:pt idx="3">
                  <c:v>97495</c:v>
                </c:pt>
                <c:pt idx="4">
                  <c:v>357035</c:v>
                </c:pt>
                <c:pt idx="5">
                  <c:v>1355475</c:v>
                </c:pt>
                <c:pt idx="6">
                  <c:v>5649260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C3-474B-82C6-FB1354C5A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31200"/>
        <c:axId val="269005408"/>
      </c:scatterChart>
      <c:scatterChart>
        <c:scatterStyle val="smoothMarker"/>
        <c:varyColors val="0"/>
        <c:ser>
          <c:idx val="1"/>
          <c:order val="1"/>
          <c:tx>
            <c:v>Эталонный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</c:numCache>
            </c:numRef>
          </c:xVal>
          <c:yVal>
            <c:numRef>
              <c:f>Sheet1!$AH$20:$AH$26</c:f>
              <c:numCache>
                <c:formatCode>General</c:formatCode>
                <c:ptCount val="7"/>
                <c:pt idx="0">
                  <c:v>2025</c:v>
                </c:pt>
                <c:pt idx="1">
                  <c:v>8100</c:v>
                </c:pt>
                <c:pt idx="2">
                  <c:v>32400</c:v>
                </c:pt>
                <c:pt idx="3">
                  <c:v>129600</c:v>
                </c:pt>
                <c:pt idx="4">
                  <c:v>518400</c:v>
                </c:pt>
                <c:pt idx="5">
                  <c:v>2073600</c:v>
                </c:pt>
                <c:pt idx="6">
                  <c:v>8294400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C3-474B-82C6-FB1354C5A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31200"/>
        <c:axId val="269005408"/>
      </c:scatterChart>
      <c:valAx>
        <c:axId val="26903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005408"/>
        <c:crosses val="autoZero"/>
        <c:crossBetween val="midCat"/>
      </c:valAx>
      <c:valAx>
        <c:axId val="26900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03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Экспериментальный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</c:numCache>
            </c:numRef>
          </c:xVal>
          <c:yVal>
            <c:numRef>
              <c:f>Sheet1!$C$12:$C$18</c:f>
              <c:numCache>
                <c:formatCode>General</c:formatCode>
                <c:ptCount val="7"/>
                <c:pt idx="0">
                  <c:v>1709</c:v>
                </c:pt>
                <c:pt idx="1">
                  <c:v>13846</c:v>
                </c:pt>
                <c:pt idx="2">
                  <c:v>113245</c:v>
                </c:pt>
                <c:pt idx="3">
                  <c:v>909385</c:v>
                </c:pt>
                <c:pt idx="4">
                  <c:v>7365422</c:v>
                </c:pt>
                <c:pt idx="5">
                  <c:v>58649094</c:v>
                </c:pt>
                <c:pt idx="6">
                  <c:v>464685067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92-4CC1-BA4C-B1F74C23B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31200"/>
        <c:axId val="269005408"/>
      </c:scatterChart>
      <c:scatterChart>
        <c:scatterStyle val="smoothMarker"/>
        <c:varyColors val="0"/>
        <c:ser>
          <c:idx val="1"/>
          <c:order val="1"/>
          <c:tx>
            <c:v>Эталонный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Sheet1!$B$2:$B$8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  <c:pt idx="6">
                  <c:v>2048</c:v>
                </c:pt>
              </c:numCache>
            </c:numRef>
          </c:xVal>
          <c:yVal>
            <c:numRef>
              <c:f>Sheet1!$D$12:$D$18</c:f>
              <c:numCache>
                <c:formatCode>General</c:formatCode>
                <c:ptCount val="7"/>
                <c:pt idx="0">
                  <c:v>1709</c:v>
                </c:pt>
                <c:pt idx="1">
                  <c:v>13672</c:v>
                </c:pt>
                <c:pt idx="2">
                  <c:v>109376</c:v>
                </c:pt>
                <c:pt idx="3">
                  <c:v>875008</c:v>
                </c:pt>
                <c:pt idx="4">
                  <c:v>7000064</c:v>
                </c:pt>
                <c:pt idx="5">
                  <c:v>56000512</c:v>
                </c:pt>
                <c:pt idx="6">
                  <c:v>448004096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92-4CC1-BA4C-B1F74C23B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031200"/>
        <c:axId val="269005408"/>
      </c:scatterChart>
      <c:valAx>
        <c:axId val="26903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005408"/>
        <c:crosses val="autoZero"/>
        <c:crossBetween val="midCat"/>
      </c:valAx>
      <c:valAx>
        <c:axId val="26900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903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21</xdr:row>
      <xdr:rowOff>0</xdr:rowOff>
    </xdr:from>
    <xdr:to>
      <xdr:col>10</xdr:col>
      <xdr:colOff>9525</xdr:colOff>
      <xdr:row>29</xdr:row>
      <xdr:rowOff>142875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7C8D237-04C9-40F3-901D-601712BAE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15</xdr:col>
      <xdr:colOff>9525</xdr:colOff>
      <xdr:row>29</xdr:row>
      <xdr:rowOff>142875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10E27F4-7CCB-4A54-B42C-E16FA544C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29</xdr:row>
      <xdr:rowOff>0</xdr:rowOff>
    </xdr:from>
    <xdr:to>
      <xdr:col>20</xdr:col>
      <xdr:colOff>9525</xdr:colOff>
      <xdr:row>37</xdr:row>
      <xdr:rowOff>152400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D98FEAF-73A9-431F-852F-3F4C2C97C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0</xdr:colOff>
      <xdr:row>11</xdr:row>
      <xdr:rowOff>0</xdr:rowOff>
    </xdr:from>
    <xdr:to>
      <xdr:col>40</xdr:col>
      <xdr:colOff>9525</xdr:colOff>
      <xdr:row>19</xdr:row>
      <xdr:rowOff>133350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4170E97-BA20-4205-B3B8-99FB7F0CA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29</xdr:row>
      <xdr:rowOff>0</xdr:rowOff>
    </xdr:from>
    <xdr:to>
      <xdr:col>24</xdr:col>
      <xdr:colOff>495300</xdr:colOff>
      <xdr:row>37</xdr:row>
      <xdr:rowOff>152400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56610A03-DFED-4170-B2B1-FB309C9D4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0</xdr:colOff>
      <xdr:row>29</xdr:row>
      <xdr:rowOff>0</xdr:rowOff>
    </xdr:from>
    <xdr:to>
      <xdr:col>30</xdr:col>
      <xdr:colOff>9525</xdr:colOff>
      <xdr:row>37</xdr:row>
      <xdr:rowOff>152400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18EB4F1B-01A6-4C6A-80D1-2206B6CF0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0</xdr:colOff>
      <xdr:row>29</xdr:row>
      <xdr:rowOff>0</xdr:rowOff>
    </xdr:from>
    <xdr:to>
      <xdr:col>35</xdr:col>
      <xdr:colOff>9525</xdr:colOff>
      <xdr:row>37</xdr:row>
      <xdr:rowOff>152400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CC4236DB-6383-427E-9B23-3FF5CE6D0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5</xdr:col>
      <xdr:colOff>9525</xdr:colOff>
      <xdr:row>29</xdr:row>
      <xdr:rowOff>142875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9D7C2493-EEF9-4735-95BB-EA7F35090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Q28"/>
  <sheetViews>
    <sheetView tabSelected="1" topLeftCell="K7" zoomScaleNormal="100" workbookViewId="0">
      <selection activeCell="Y2" sqref="W2:Y2"/>
    </sheetView>
  </sheetViews>
  <sheetFormatPr defaultRowHeight="15" x14ac:dyDescent="0.25"/>
  <cols>
    <col min="1" max="1" width="10" bestFit="1" customWidth="1"/>
    <col min="23" max="23" width="11" bestFit="1" customWidth="1"/>
  </cols>
  <sheetData>
    <row r="1" spans="2:43" ht="15.75" thickBot="1" x14ac:dyDescent="0.3"/>
    <row r="2" spans="2:43" ht="19.5" thickBot="1" x14ac:dyDescent="0.3">
      <c r="B2" s="2">
        <v>32</v>
      </c>
      <c r="C2" s="15">
        <v>1709</v>
      </c>
      <c r="D2" s="15">
        <v>1709</v>
      </c>
      <c r="E2" s="4">
        <f>C3/C2</f>
        <v>7.9262726740784082</v>
      </c>
      <c r="G2" s="2">
        <v>32</v>
      </c>
      <c r="H2" s="3">
        <v>2</v>
      </c>
      <c r="I2" s="3"/>
      <c r="J2" s="4">
        <f>H3/H2</f>
        <v>4</v>
      </c>
      <c r="L2" s="2">
        <v>32</v>
      </c>
      <c r="M2" s="3">
        <v>2</v>
      </c>
      <c r="N2" s="3"/>
      <c r="O2" s="4">
        <f>M3/M2</f>
        <v>4</v>
      </c>
      <c r="Q2" s="2">
        <v>32</v>
      </c>
      <c r="R2" s="3">
        <v>2</v>
      </c>
      <c r="S2" s="3"/>
      <c r="T2" s="4">
        <f>R3/R2</f>
        <v>4</v>
      </c>
      <c r="V2" s="2">
        <v>32</v>
      </c>
      <c r="W2" s="3">
        <v>1767</v>
      </c>
      <c r="X2" s="3"/>
      <c r="Y2" s="4">
        <f>W3/W2</f>
        <v>7.7277872099603853</v>
      </c>
      <c r="AA2" s="2">
        <v>32</v>
      </c>
      <c r="AB2" s="3">
        <v>321</v>
      </c>
      <c r="AC2" s="3"/>
      <c r="AD2" s="4">
        <f>AB3/AB2</f>
        <v>1.5506230529595015</v>
      </c>
      <c r="AF2" s="2">
        <v>32</v>
      </c>
      <c r="AG2" s="3">
        <v>2025</v>
      </c>
      <c r="AH2" s="3"/>
      <c r="AI2" s="4">
        <f>AG3/AG2</f>
        <v>3.5797530864197529</v>
      </c>
      <c r="AK2" s="2">
        <v>32</v>
      </c>
      <c r="AL2" s="3">
        <f>4*R2</f>
        <v>8</v>
      </c>
      <c r="AM2" s="3">
        <v>8</v>
      </c>
      <c r="AN2" s="4">
        <f>AL3/AL2</f>
        <v>4</v>
      </c>
    </row>
    <row r="3" spans="2:43" ht="19.5" thickBot="1" x14ac:dyDescent="0.3">
      <c r="B3" s="5">
        <v>64</v>
      </c>
      <c r="C3" s="16">
        <v>13546</v>
      </c>
      <c r="D3" s="16">
        <v>13672</v>
      </c>
      <c r="E3" s="6">
        <f t="shared" ref="E3:E7" si="0">C4/C3</f>
        <v>8.1385648900044298</v>
      </c>
      <c r="G3" s="5">
        <v>64</v>
      </c>
      <c r="H3" s="1">
        <v>8</v>
      </c>
      <c r="I3" s="1"/>
      <c r="J3" s="6">
        <f>H4/H3</f>
        <v>4.125</v>
      </c>
      <c r="L3" s="5">
        <v>64</v>
      </c>
      <c r="M3" s="1">
        <v>8</v>
      </c>
      <c r="N3" s="1"/>
      <c r="O3" s="6">
        <f t="shared" ref="O3:O7" si="1">M4/M3</f>
        <v>3.5</v>
      </c>
      <c r="Q3" s="5">
        <v>64</v>
      </c>
      <c r="R3" s="1">
        <v>8</v>
      </c>
      <c r="S3" s="1"/>
      <c r="T3" s="6">
        <f t="shared" ref="T3:T7" si="2">R4/R3</f>
        <v>3.5</v>
      </c>
      <c r="V3" s="5">
        <v>64</v>
      </c>
      <c r="W3" s="1">
        <v>13655</v>
      </c>
      <c r="X3" s="1"/>
      <c r="Y3" s="6">
        <f t="shared" ref="Y3:Y7" si="3">W4/W3</f>
        <v>8.2955693885023809</v>
      </c>
      <c r="AA3" s="5">
        <v>64</v>
      </c>
      <c r="AB3" s="1">
        <v>497.75</v>
      </c>
      <c r="AC3" s="1"/>
      <c r="AD3" s="6">
        <f t="shared" ref="AD3:AD7" si="4">AB4/AB3</f>
        <v>1.8960321446509292</v>
      </c>
      <c r="AF3" s="5">
        <v>64</v>
      </c>
      <c r="AG3" s="1">
        <v>7249</v>
      </c>
      <c r="AH3" s="1"/>
      <c r="AI3" s="6">
        <f t="shared" ref="AI3:AI7" si="5">AG4/AG3</f>
        <v>3.7973789488205272</v>
      </c>
      <c r="AK3" s="5">
        <v>64</v>
      </c>
      <c r="AL3" s="3">
        <f t="shared" ref="AL3:AL8" si="6">4*R3</f>
        <v>32</v>
      </c>
      <c r="AM3" s="1">
        <f>AM2*4</f>
        <v>32</v>
      </c>
      <c r="AN3" s="6">
        <f t="shared" ref="AN3:AN7" si="7">AL4/AL3</f>
        <v>3.5</v>
      </c>
    </row>
    <row r="4" spans="2:43" ht="19.5" thickBot="1" x14ac:dyDescent="0.3">
      <c r="B4" s="5">
        <v>128</v>
      </c>
      <c r="C4" s="16">
        <v>110245</v>
      </c>
      <c r="D4" s="16">
        <v>109376</v>
      </c>
      <c r="E4" s="6">
        <f t="shared" si="0"/>
        <v>8.2487641162864538</v>
      </c>
      <c r="G4" s="5">
        <v>128</v>
      </c>
      <c r="H4" s="1">
        <v>33</v>
      </c>
      <c r="I4" s="1"/>
      <c r="J4" s="6">
        <f>H5/H4</f>
        <v>3.6363636363636362</v>
      </c>
      <c r="L4" s="5">
        <v>128</v>
      </c>
      <c r="M4" s="1">
        <v>28</v>
      </c>
      <c r="N4" s="1"/>
      <c r="O4" s="6">
        <f t="shared" si="1"/>
        <v>3.8928571428571428</v>
      </c>
      <c r="Q4" s="5">
        <v>128</v>
      </c>
      <c r="R4" s="1">
        <v>28</v>
      </c>
      <c r="S4" s="1"/>
      <c r="T4" s="6">
        <f t="shared" si="2"/>
        <v>3.7857142857142856</v>
      </c>
      <c r="V4" s="5">
        <v>128</v>
      </c>
      <c r="W4" s="1">
        <v>113276</v>
      </c>
      <c r="X4" s="1"/>
      <c r="Y4" s="6">
        <f t="shared" si="3"/>
        <v>7.8812722906882309</v>
      </c>
      <c r="AA4" s="5">
        <v>128</v>
      </c>
      <c r="AB4" s="1">
        <v>943.75</v>
      </c>
      <c r="AC4" s="1"/>
      <c r="AD4" s="6">
        <f t="shared" si="4"/>
        <v>1.8950993377483443</v>
      </c>
      <c r="AF4" s="5">
        <v>128</v>
      </c>
      <c r="AG4" s="1">
        <v>27527.200000000001</v>
      </c>
      <c r="AH4" s="1"/>
      <c r="AI4" s="6">
        <f t="shared" si="5"/>
        <v>3.5417695951640558</v>
      </c>
      <c r="AK4" s="5">
        <v>128</v>
      </c>
      <c r="AL4" s="3">
        <f t="shared" si="6"/>
        <v>112</v>
      </c>
      <c r="AM4" s="1">
        <f t="shared" ref="AM4:AM8" si="8">AM3*4</f>
        <v>128</v>
      </c>
      <c r="AN4" s="6">
        <f t="shared" si="7"/>
        <v>3.9642857142857144</v>
      </c>
    </row>
    <row r="5" spans="2:43" ht="19.5" thickBot="1" x14ac:dyDescent="0.3">
      <c r="B5" s="5">
        <v>256</v>
      </c>
      <c r="C5" s="16">
        <v>909385</v>
      </c>
      <c r="D5" s="16">
        <v>875008</v>
      </c>
      <c r="E5" s="6">
        <f t="shared" si="0"/>
        <v>7.7694507826718056</v>
      </c>
      <c r="G5" s="5">
        <v>256</v>
      </c>
      <c r="H5" s="1">
        <v>120</v>
      </c>
      <c r="I5" s="1"/>
      <c r="J5" s="6">
        <f>H6/H5</f>
        <v>3.7250000000000001</v>
      </c>
      <c r="L5" s="5">
        <v>256</v>
      </c>
      <c r="M5" s="1">
        <v>109</v>
      </c>
      <c r="N5" s="1"/>
      <c r="O5" s="6">
        <f t="shared" si="1"/>
        <v>4.0275229357798166</v>
      </c>
      <c r="Q5" s="5">
        <v>256</v>
      </c>
      <c r="R5" s="14">
        <v>106</v>
      </c>
      <c r="S5" s="1"/>
      <c r="T5" s="6">
        <f t="shared" si="2"/>
        <v>4.0849056603773581</v>
      </c>
      <c r="V5" s="5">
        <v>256</v>
      </c>
      <c r="W5" s="14">
        <v>892759</v>
      </c>
      <c r="X5" s="1"/>
      <c r="Y5" s="6">
        <f t="shared" si="3"/>
        <v>8.1709251880966765</v>
      </c>
      <c r="AA5" s="5">
        <v>256</v>
      </c>
      <c r="AB5" s="14">
        <v>1788.5</v>
      </c>
      <c r="AC5" s="1"/>
      <c r="AD5" s="6">
        <f t="shared" si="4"/>
        <v>1.940173329605815</v>
      </c>
      <c r="AF5" s="5">
        <v>256</v>
      </c>
      <c r="AG5" s="14">
        <v>97495</v>
      </c>
      <c r="AH5" s="1"/>
      <c r="AI5" s="6">
        <f t="shared" si="5"/>
        <v>3.6620852351402635</v>
      </c>
      <c r="AK5" s="5">
        <v>256</v>
      </c>
      <c r="AL5" s="3">
        <f>4*R5+20</f>
        <v>444</v>
      </c>
      <c r="AM5" s="1">
        <f t="shared" si="8"/>
        <v>512</v>
      </c>
      <c r="AN5" s="6">
        <f t="shared" si="7"/>
        <v>3.900900900900901</v>
      </c>
    </row>
    <row r="6" spans="2:43" ht="19.5" thickBot="1" x14ac:dyDescent="0.3">
      <c r="B6" s="5">
        <v>512</v>
      </c>
      <c r="C6" s="16">
        <v>7065422</v>
      </c>
      <c r="D6" s="16">
        <v>7000064</v>
      </c>
      <c r="E6" s="6">
        <f t="shared" si="0"/>
        <v>8.159327779713653</v>
      </c>
      <c r="G6" s="5">
        <v>512</v>
      </c>
      <c r="H6" s="1">
        <v>447</v>
      </c>
      <c r="I6" s="1"/>
      <c r="J6" s="6">
        <f t="shared" ref="J6:J7" si="9">H7/H6</f>
        <v>3.8680089485458611</v>
      </c>
      <c r="L6" s="5">
        <v>512</v>
      </c>
      <c r="M6" s="1">
        <v>439</v>
      </c>
      <c r="N6" s="1"/>
      <c r="O6" s="6">
        <f t="shared" si="1"/>
        <v>3.9339407744874717</v>
      </c>
      <c r="Q6" s="5">
        <v>512</v>
      </c>
      <c r="R6" s="14">
        <v>433</v>
      </c>
      <c r="S6" s="1"/>
      <c r="T6" s="6">
        <f t="shared" si="2"/>
        <v>4.1085450346420327</v>
      </c>
      <c r="V6" s="5">
        <v>512</v>
      </c>
      <c r="W6" s="14">
        <v>7294667</v>
      </c>
      <c r="X6" s="1"/>
      <c r="Y6" s="6">
        <f t="shared" si="3"/>
        <v>7.8794759239866607</v>
      </c>
      <c r="AA6" s="5">
        <v>512</v>
      </c>
      <c r="AB6" s="14">
        <v>3470</v>
      </c>
      <c r="AC6" s="1"/>
      <c r="AD6" s="6">
        <f t="shared" si="4"/>
        <v>2.0147694524495678</v>
      </c>
      <c r="AF6" s="5">
        <v>512</v>
      </c>
      <c r="AG6" s="14">
        <v>357035</v>
      </c>
      <c r="AH6" s="1"/>
      <c r="AI6" s="6">
        <f t="shared" si="5"/>
        <v>3.7964765359138459</v>
      </c>
      <c r="AK6" s="5">
        <v>512</v>
      </c>
      <c r="AL6" s="3">
        <f>4*R6</f>
        <v>1732</v>
      </c>
      <c r="AM6" s="1">
        <f t="shared" si="8"/>
        <v>2048</v>
      </c>
      <c r="AN6" s="6">
        <f t="shared" si="7"/>
        <v>4.1085450346420327</v>
      </c>
    </row>
    <row r="7" spans="2:43" ht="19.5" thickBot="1" x14ac:dyDescent="0.3">
      <c r="B7" s="5">
        <v>1024</v>
      </c>
      <c r="C7" s="16">
        <v>57649094</v>
      </c>
      <c r="D7" s="16">
        <v>56000512</v>
      </c>
      <c r="E7" s="6">
        <f t="shared" si="0"/>
        <v>7.6789596554631023</v>
      </c>
      <c r="G7" s="5">
        <v>1024</v>
      </c>
      <c r="H7" s="1">
        <v>1729</v>
      </c>
      <c r="I7" s="1"/>
      <c r="J7" s="6">
        <f t="shared" si="9"/>
        <v>3.8652400231347599</v>
      </c>
      <c r="L7" s="5">
        <v>1024</v>
      </c>
      <c r="M7" s="1">
        <v>1727</v>
      </c>
      <c r="N7" s="1"/>
      <c r="O7" s="6">
        <f t="shared" si="1"/>
        <v>3.8286045165026055</v>
      </c>
      <c r="Q7" s="5">
        <v>1024</v>
      </c>
      <c r="R7" s="14">
        <v>1779</v>
      </c>
      <c r="S7" s="1"/>
      <c r="T7" s="6">
        <f t="shared" si="2"/>
        <v>3.8768971332209108</v>
      </c>
      <c r="V7" s="5">
        <v>1024</v>
      </c>
      <c r="W7" s="14">
        <v>57478153</v>
      </c>
      <c r="X7" s="1"/>
      <c r="Y7" s="6">
        <f t="shared" si="3"/>
        <v>7.9729903986302411</v>
      </c>
      <c r="AA7" s="5">
        <v>1024</v>
      </c>
      <c r="AB7" s="14">
        <v>6991.25</v>
      </c>
      <c r="AC7" s="1"/>
      <c r="AD7" s="6">
        <f t="shared" si="4"/>
        <v>2.1948864652243878</v>
      </c>
      <c r="AF7" s="5">
        <v>1024</v>
      </c>
      <c r="AG7" s="14">
        <v>1355475</v>
      </c>
      <c r="AH7" s="1"/>
      <c r="AI7" s="6">
        <f t="shared" si="5"/>
        <v>4.1677345579962743</v>
      </c>
      <c r="AK7" s="5">
        <v>1024</v>
      </c>
      <c r="AL7" s="3">
        <f t="shared" si="6"/>
        <v>7116</v>
      </c>
      <c r="AM7" s="1">
        <f t="shared" si="8"/>
        <v>8192</v>
      </c>
      <c r="AN7" s="6">
        <f t="shared" si="7"/>
        <v>3.8768971332209108</v>
      </c>
    </row>
    <row r="8" spans="2:43" ht="19.5" thickBot="1" x14ac:dyDescent="0.3">
      <c r="B8" s="7">
        <v>2048</v>
      </c>
      <c r="C8" s="18">
        <v>442685067</v>
      </c>
      <c r="D8" s="17">
        <v>448004096</v>
      </c>
      <c r="E8" s="9"/>
      <c r="G8" s="7">
        <v>2048</v>
      </c>
      <c r="H8" s="8">
        <v>6683</v>
      </c>
      <c r="I8" s="8"/>
      <c r="J8" s="9"/>
      <c r="L8" s="7">
        <v>2048</v>
      </c>
      <c r="M8" s="8">
        <v>6612</v>
      </c>
      <c r="N8" s="8"/>
      <c r="O8" s="9"/>
      <c r="Q8" s="7">
        <v>2048</v>
      </c>
      <c r="R8" s="8">
        <v>6897</v>
      </c>
      <c r="S8" s="8"/>
      <c r="T8" s="9"/>
      <c r="V8" s="7">
        <v>2048</v>
      </c>
      <c r="W8" s="8">
        <v>458272762</v>
      </c>
      <c r="X8" s="8"/>
      <c r="Y8" s="9"/>
      <c r="AA8" s="7">
        <v>2048</v>
      </c>
      <c r="AB8" s="8">
        <v>15345</v>
      </c>
      <c r="AC8" s="8"/>
      <c r="AD8" s="9"/>
      <c r="AF8" s="7">
        <v>2048</v>
      </c>
      <c r="AG8" s="8">
        <v>5649260</v>
      </c>
      <c r="AH8" s="8"/>
      <c r="AI8" s="9"/>
      <c r="AK8" s="7">
        <v>2048</v>
      </c>
      <c r="AL8" s="3">
        <f t="shared" si="6"/>
        <v>27588</v>
      </c>
      <c r="AM8" s="1">
        <f t="shared" si="8"/>
        <v>32768</v>
      </c>
      <c r="AN8" s="9"/>
    </row>
    <row r="9" spans="2:43" x14ac:dyDescent="0.25">
      <c r="B9" s="13" t="s">
        <v>0</v>
      </c>
      <c r="C9" s="11"/>
      <c r="D9" s="11"/>
      <c r="E9" s="12"/>
      <c r="G9" s="10" t="s">
        <v>1</v>
      </c>
      <c r="H9" s="11"/>
      <c r="I9" s="11"/>
      <c r="J9" s="12"/>
      <c r="L9" s="10" t="s">
        <v>2</v>
      </c>
      <c r="M9" s="11"/>
      <c r="N9" s="11"/>
      <c r="O9" s="12"/>
      <c r="Q9" s="10" t="s">
        <v>3</v>
      </c>
      <c r="R9" s="11"/>
      <c r="S9" s="11"/>
      <c r="T9" s="12"/>
      <c r="V9" s="13" t="s">
        <v>6</v>
      </c>
      <c r="W9" s="11"/>
      <c r="X9" s="11"/>
      <c r="Y9" s="12"/>
      <c r="AA9" s="10" t="s">
        <v>7</v>
      </c>
      <c r="AB9" s="11"/>
      <c r="AC9" s="11"/>
      <c r="AD9" s="12"/>
      <c r="AF9" s="13" t="s">
        <v>8</v>
      </c>
      <c r="AG9" s="11"/>
      <c r="AH9" s="11"/>
      <c r="AI9" s="12"/>
      <c r="AK9" s="13" t="s">
        <v>10</v>
      </c>
      <c r="AL9" s="11"/>
      <c r="AM9" s="11"/>
      <c r="AN9" s="12"/>
    </row>
    <row r="10" spans="2:43" x14ac:dyDescent="0.25">
      <c r="B10" t="s">
        <v>4</v>
      </c>
      <c r="G10" t="s">
        <v>5</v>
      </c>
      <c r="L10" t="s">
        <v>5</v>
      </c>
      <c r="Q10" t="s">
        <v>5</v>
      </c>
      <c r="V10" t="s">
        <v>4</v>
      </c>
      <c r="AA10" t="s">
        <v>9</v>
      </c>
      <c r="AF10" t="s">
        <v>5</v>
      </c>
      <c r="AK10" t="s">
        <v>5</v>
      </c>
    </row>
    <row r="11" spans="2:43" ht="15.75" thickBot="1" x14ac:dyDescent="0.3"/>
    <row r="12" spans="2:43" x14ac:dyDescent="0.25">
      <c r="B12" s="2">
        <v>32</v>
      </c>
      <c r="C12" s="3">
        <v>1709</v>
      </c>
      <c r="D12" s="3">
        <v>1709</v>
      </c>
      <c r="E12" s="4">
        <f>C13/C12</f>
        <v>8.1018139262726745</v>
      </c>
      <c r="G12" s="2">
        <v>32</v>
      </c>
      <c r="H12" s="3">
        <v>2</v>
      </c>
      <c r="I12" s="3">
        <f>2</f>
        <v>2</v>
      </c>
      <c r="J12" s="4">
        <f>H13/H12</f>
        <v>4</v>
      </c>
      <c r="L12" s="2">
        <v>32</v>
      </c>
      <c r="M12" s="3">
        <v>2</v>
      </c>
      <c r="N12" s="3">
        <v>2</v>
      </c>
      <c r="O12" s="4">
        <f>M13/M12</f>
        <v>4</v>
      </c>
      <c r="T12" s="2">
        <v>32</v>
      </c>
      <c r="U12">
        <f>AVERAGE(W12:Z12)</f>
        <v>321</v>
      </c>
      <c r="W12">
        <v>293</v>
      </c>
      <c r="X12">
        <v>282</v>
      </c>
      <c r="Y12">
        <v>337</v>
      </c>
      <c r="Z12">
        <v>372</v>
      </c>
      <c r="AA12">
        <v>128</v>
      </c>
      <c r="AB12">
        <f>AVERAGE(AD12:AH12)</f>
        <v>27527.200000000001</v>
      </c>
      <c r="AD12">
        <v>31270</v>
      </c>
      <c r="AE12">
        <v>27586</v>
      </c>
      <c r="AF12">
        <v>26461</v>
      </c>
      <c r="AG12">
        <v>24352</v>
      </c>
      <c r="AH12">
        <v>27967</v>
      </c>
      <c r="AQ12">
        <v>14</v>
      </c>
    </row>
    <row r="13" spans="2:43" x14ac:dyDescent="0.25">
      <c r="B13" s="5">
        <v>64</v>
      </c>
      <c r="C13" s="1">
        <v>13846</v>
      </c>
      <c r="D13" s="1">
        <f>D12*8</f>
        <v>13672</v>
      </c>
      <c r="E13" s="6">
        <f t="shared" ref="E13:E17" si="10">C14/C13</f>
        <v>8.1788964321825794</v>
      </c>
      <c r="G13" s="5">
        <v>64</v>
      </c>
      <c r="H13" s="1">
        <v>8</v>
      </c>
      <c r="I13" s="1">
        <f>I12*4</f>
        <v>8</v>
      </c>
      <c r="J13" s="6">
        <f>H14/H13</f>
        <v>4.125</v>
      </c>
      <c r="L13" s="5">
        <v>64</v>
      </c>
      <c r="M13" s="1">
        <v>8</v>
      </c>
      <c r="N13" s="1">
        <f>N12*4</f>
        <v>8</v>
      </c>
      <c r="O13" s="6">
        <f t="shared" ref="O13:O17" si="11">M14/M13</f>
        <v>3.5</v>
      </c>
      <c r="T13" s="5">
        <v>64</v>
      </c>
      <c r="U13">
        <f t="shared" ref="U13:U18" si="12">AVERAGE(W13:Z13)</f>
        <v>497.75</v>
      </c>
      <c r="W13">
        <v>369</v>
      </c>
      <c r="X13">
        <v>412</v>
      </c>
      <c r="Y13">
        <v>563</v>
      </c>
      <c r="Z13">
        <v>647</v>
      </c>
      <c r="AA13">
        <v>2048</v>
      </c>
      <c r="AB13">
        <f t="shared" ref="AB13" si="13">AVERAGE(AD13:AH13)</f>
        <v>8402019.666666666</v>
      </c>
      <c r="AD13">
        <v>6649260</v>
      </c>
      <c r="AE13">
        <v>7681766</v>
      </c>
      <c r="AF13">
        <v>10875033</v>
      </c>
    </row>
    <row r="14" spans="2:43" x14ac:dyDescent="0.25">
      <c r="B14" s="5">
        <v>128</v>
      </c>
      <c r="C14" s="1">
        <v>113245</v>
      </c>
      <c r="D14" s="1">
        <f t="shared" ref="D14:D18" si="14">D13*8</f>
        <v>109376</v>
      </c>
      <c r="E14" s="6">
        <f t="shared" si="10"/>
        <v>8.0302441608901063</v>
      </c>
      <c r="G14" s="5">
        <v>128</v>
      </c>
      <c r="H14" s="1">
        <v>33</v>
      </c>
      <c r="I14" s="1">
        <f t="shared" ref="I14:I18" si="15">I13*4</f>
        <v>32</v>
      </c>
      <c r="J14" s="6">
        <f>H15/H14</f>
        <v>3.6363636363636362</v>
      </c>
      <c r="L14" s="5">
        <v>128</v>
      </c>
      <c r="M14" s="1">
        <v>28</v>
      </c>
      <c r="N14" s="1">
        <f t="shared" ref="N14:N18" si="16">N13*4</f>
        <v>32</v>
      </c>
      <c r="O14" s="6">
        <f t="shared" si="11"/>
        <v>3.8928571428571428</v>
      </c>
      <c r="T14" s="5">
        <v>128</v>
      </c>
      <c r="U14">
        <f t="shared" si="12"/>
        <v>943.75</v>
      </c>
      <c r="W14">
        <v>1062</v>
      </c>
      <c r="X14">
        <v>768</v>
      </c>
      <c r="Y14">
        <v>1255</v>
      </c>
      <c r="Z14">
        <v>690</v>
      </c>
      <c r="AA14">
        <v>32</v>
      </c>
      <c r="AB14">
        <f>AVERAGE(AD14:AG14)</f>
        <v>2022.75</v>
      </c>
      <c r="AD14">
        <v>2571</v>
      </c>
      <c r="AE14">
        <v>2237</v>
      </c>
      <c r="AF14">
        <v>1544</v>
      </c>
      <c r="AG14">
        <v>1739</v>
      </c>
    </row>
    <row r="15" spans="2:43" x14ac:dyDescent="0.25">
      <c r="B15" s="5">
        <v>256</v>
      </c>
      <c r="C15" s="1">
        <v>909385</v>
      </c>
      <c r="D15" s="1">
        <f t="shared" si="14"/>
        <v>875008</v>
      </c>
      <c r="E15" s="6">
        <f t="shared" si="10"/>
        <v>8.099344062195879</v>
      </c>
      <c r="G15" s="5">
        <v>256</v>
      </c>
      <c r="H15" s="1">
        <v>120</v>
      </c>
      <c r="I15" s="1">
        <f t="shared" si="15"/>
        <v>128</v>
      </c>
      <c r="J15" s="6">
        <f>H16/H15</f>
        <v>3.7250000000000001</v>
      </c>
      <c r="L15" s="5">
        <v>256</v>
      </c>
      <c r="M15" s="1">
        <v>109</v>
      </c>
      <c r="N15" s="1">
        <f t="shared" si="16"/>
        <v>128</v>
      </c>
      <c r="O15" s="6">
        <f t="shared" si="11"/>
        <v>4.0275229357798166</v>
      </c>
      <c r="T15" s="5">
        <v>256</v>
      </c>
      <c r="U15">
        <f t="shared" si="12"/>
        <v>1788.5</v>
      </c>
      <c r="W15">
        <v>1359</v>
      </c>
      <c r="X15">
        <v>2206</v>
      </c>
      <c r="Y15">
        <v>2189</v>
      </c>
      <c r="Z15">
        <v>1400</v>
      </c>
    </row>
    <row r="16" spans="2:43" x14ac:dyDescent="0.25">
      <c r="B16" s="5">
        <v>512</v>
      </c>
      <c r="C16" s="1">
        <v>7365422</v>
      </c>
      <c r="D16" s="1">
        <f t="shared" si="14"/>
        <v>7000064</v>
      </c>
      <c r="E16" s="6">
        <f t="shared" si="10"/>
        <v>7.9627608574226976</v>
      </c>
      <c r="G16" s="5">
        <v>512</v>
      </c>
      <c r="H16" s="1">
        <v>447</v>
      </c>
      <c r="I16" s="1">
        <f t="shared" si="15"/>
        <v>512</v>
      </c>
      <c r="J16" s="6">
        <f t="shared" ref="J16:J17" si="17">H17/H16</f>
        <v>3.8680089485458611</v>
      </c>
      <c r="L16" s="5">
        <v>512</v>
      </c>
      <c r="M16" s="1">
        <v>439</v>
      </c>
      <c r="N16" s="1">
        <f t="shared" si="16"/>
        <v>512</v>
      </c>
      <c r="O16" s="6">
        <f t="shared" si="11"/>
        <v>3.9339407744874717</v>
      </c>
      <c r="T16" s="5">
        <v>512</v>
      </c>
      <c r="U16">
        <f t="shared" si="12"/>
        <v>3470</v>
      </c>
      <c r="W16">
        <v>2794</v>
      </c>
      <c r="X16">
        <v>4833</v>
      </c>
      <c r="Y16">
        <v>3410</v>
      </c>
      <c r="Z16">
        <v>2843</v>
      </c>
    </row>
    <row r="17" spans="2:35" x14ac:dyDescent="0.25">
      <c r="B17" s="5">
        <v>1024</v>
      </c>
      <c r="C17" s="1">
        <v>58649094</v>
      </c>
      <c r="D17" s="1">
        <f t="shared" si="14"/>
        <v>56000512</v>
      </c>
      <c r="E17" s="6">
        <f t="shared" si="10"/>
        <v>7.9231414384679155</v>
      </c>
      <c r="G17" s="5">
        <v>1024</v>
      </c>
      <c r="H17" s="1">
        <v>1729</v>
      </c>
      <c r="I17" s="1">
        <f t="shared" si="15"/>
        <v>2048</v>
      </c>
      <c r="J17" s="6">
        <f t="shared" si="17"/>
        <v>3.8652400231347599</v>
      </c>
      <c r="L17" s="5">
        <v>1024</v>
      </c>
      <c r="M17" s="1">
        <v>1727</v>
      </c>
      <c r="N17" s="1">
        <f t="shared" si="16"/>
        <v>2048</v>
      </c>
      <c r="O17" s="6">
        <f t="shared" si="11"/>
        <v>3.8286045165026055</v>
      </c>
      <c r="T17" s="5">
        <v>1024</v>
      </c>
      <c r="U17">
        <f t="shared" si="12"/>
        <v>6991.25</v>
      </c>
      <c r="W17">
        <v>5611</v>
      </c>
      <c r="X17">
        <v>8030</v>
      </c>
      <c r="Y17">
        <v>8927</v>
      </c>
      <c r="Z17">
        <v>5397</v>
      </c>
    </row>
    <row r="18" spans="2:35" ht="15.75" thickBot="1" x14ac:dyDescent="0.3">
      <c r="B18" s="7">
        <v>2048</v>
      </c>
      <c r="C18" s="8">
        <v>464685067</v>
      </c>
      <c r="D18" s="1">
        <f t="shared" si="14"/>
        <v>448004096</v>
      </c>
      <c r="E18" s="9"/>
      <c r="G18" s="7">
        <v>2048</v>
      </c>
      <c r="H18" s="8">
        <v>6683</v>
      </c>
      <c r="I18" s="1">
        <f t="shared" si="15"/>
        <v>8192</v>
      </c>
      <c r="J18" s="9"/>
      <c r="L18" s="7">
        <v>2048</v>
      </c>
      <c r="M18" s="8">
        <v>6612</v>
      </c>
      <c r="N18" s="1">
        <f t="shared" si="16"/>
        <v>8192</v>
      </c>
      <c r="O18" s="9"/>
      <c r="T18" s="7">
        <v>2048</v>
      </c>
      <c r="U18">
        <f t="shared" si="12"/>
        <v>15345</v>
      </c>
      <c r="W18">
        <v>15345</v>
      </c>
    </row>
    <row r="19" spans="2:35" ht="15.75" thickBot="1" x14ac:dyDescent="0.3">
      <c r="B19" s="13" t="s">
        <v>0</v>
      </c>
      <c r="C19" s="11"/>
      <c r="D19" s="11"/>
      <c r="E19" s="12"/>
      <c r="G19" s="10" t="s">
        <v>1</v>
      </c>
      <c r="H19" s="11"/>
      <c r="I19" s="11"/>
      <c r="J19" s="12"/>
      <c r="L19" s="10" t="s">
        <v>2</v>
      </c>
      <c r="M19" s="11"/>
      <c r="N19" s="11"/>
      <c r="O19" s="12"/>
    </row>
    <row r="20" spans="2:35" x14ac:dyDescent="0.25">
      <c r="B20" t="s">
        <v>4</v>
      </c>
      <c r="G20" t="s">
        <v>5</v>
      </c>
      <c r="L20" t="s">
        <v>5</v>
      </c>
      <c r="Q20" s="2">
        <v>32</v>
      </c>
      <c r="R20" s="3">
        <v>2</v>
      </c>
      <c r="S20" s="3">
        <v>2</v>
      </c>
      <c r="T20" s="4">
        <f>R21/R20</f>
        <v>4</v>
      </c>
      <c r="V20" s="2">
        <v>32</v>
      </c>
      <c r="W20" s="3">
        <v>1767</v>
      </c>
      <c r="X20" s="3">
        <v>1767</v>
      </c>
      <c r="Y20" s="4">
        <f>W21/W20</f>
        <v>7.7277872099603853</v>
      </c>
      <c r="AA20" s="2">
        <v>32</v>
      </c>
      <c r="AB20" s="3">
        <v>321</v>
      </c>
      <c r="AC20" s="3">
        <v>321</v>
      </c>
      <c r="AD20" s="4">
        <f>AB21/AB20</f>
        <v>1.5506230529595015</v>
      </c>
      <c r="AF20" s="2">
        <v>32</v>
      </c>
      <c r="AG20" s="3">
        <v>2025</v>
      </c>
      <c r="AH20" s="3">
        <v>2025</v>
      </c>
      <c r="AI20" s="4">
        <f>AG21/AG20</f>
        <v>3.5797530864197529</v>
      </c>
    </row>
    <row r="21" spans="2:35" x14ac:dyDescent="0.25">
      <c r="Q21" s="5">
        <v>64</v>
      </c>
      <c r="R21" s="1">
        <v>8</v>
      </c>
      <c r="S21" s="1">
        <f>S20*4</f>
        <v>8</v>
      </c>
      <c r="T21" s="6">
        <f t="shared" ref="T21:T25" si="18">R22/R21</f>
        <v>3.5</v>
      </c>
      <c r="V21" s="5">
        <v>64</v>
      </c>
      <c r="W21" s="1">
        <v>13655</v>
      </c>
      <c r="X21" s="1">
        <f>X20*8</f>
        <v>14136</v>
      </c>
      <c r="Y21" s="6">
        <f t="shared" ref="Y21:Y25" si="19">W22/W21</f>
        <v>8.2955693885023809</v>
      </c>
      <c r="AA21" s="5">
        <v>64</v>
      </c>
      <c r="AB21" s="1">
        <v>497.75</v>
      </c>
      <c r="AC21" s="1">
        <f>AC20*2</f>
        <v>642</v>
      </c>
      <c r="AD21" s="6">
        <f t="shared" ref="AD21:AD25" si="20">AB22/AB21</f>
        <v>1.8960321446509292</v>
      </c>
      <c r="AF21" s="5">
        <v>64</v>
      </c>
      <c r="AG21" s="1">
        <v>7249</v>
      </c>
      <c r="AH21" s="1">
        <f>AH20*4</f>
        <v>8100</v>
      </c>
      <c r="AI21" s="6">
        <f t="shared" ref="AI21:AI25" si="21">AG22/AG21</f>
        <v>3.7973789488205272</v>
      </c>
    </row>
    <row r="22" spans="2:35" x14ac:dyDescent="0.25">
      <c r="Q22" s="5">
        <v>128</v>
      </c>
      <c r="R22" s="1">
        <v>28</v>
      </c>
      <c r="S22" s="1">
        <f t="shared" ref="S22:S26" si="22">S21*4</f>
        <v>32</v>
      </c>
      <c r="T22" s="6">
        <f t="shared" si="18"/>
        <v>3.7857142857142856</v>
      </c>
      <c r="V22" s="5">
        <v>128</v>
      </c>
      <c r="W22" s="1">
        <v>113276</v>
      </c>
      <c r="X22" s="1">
        <f t="shared" ref="X22:X26" si="23">X21*8</f>
        <v>113088</v>
      </c>
      <c r="Y22" s="6">
        <f t="shared" si="19"/>
        <v>7.8812722906882309</v>
      </c>
      <c r="AA22" s="5">
        <v>128</v>
      </c>
      <c r="AB22" s="1">
        <v>943.75</v>
      </c>
      <c r="AC22" s="1">
        <f t="shared" ref="AC22:AC26" si="24">AC21*2</f>
        <v>1284</v>
      </c>
      <c r="AD22" s="6">
        <f t="shared" si="20"/>
        <v>1.8950993377483443</v>
      </c>
      <c r="AF22" s="5">
        <v>128</v>
      </c>
      <c r="AG22" s="1">
        <v>27527.200000000001</v>
      </c>
      <c r="AH22" s="1">
        <f t="shared" ref="AH22:AH26" si="25">AH21*4</f>
        <v>32400</v>
      </c>
      <c r="AI22" s="6">
        <f t="shared" si="21"/>
        <v>3.5417695951640558</v>
      </c>
    </row>
    <row r="23" spans="2:35" x14ac:dyDescent="0.25">
      <c r="Q23" s="5">
        <v>256</v>
      </c>
      <c r="R23" s="14">
        <v>106</v>
      </c>
      <c r="S23" s="1">
        <f t="shared" si="22"/>
        <v>128</v>
      </c>
      <c r="T23" s="6">
        <f t="shared" si="18"/>
        <v>4.0849056603773581</v>
      </c>
      <c r="V23" s="5">
        <v>256</v>
      </c>
      <c r="W23" s="14">
        <v>892759</v>
      </c>
      <c r="X23" s="1">
        <f t="shared" si="23"/>
        <v>904704</v>
      </c>
      <c r="Y23" s="6">
        <f t="shared" si="19"/>
        <v>8.1709251880966765</v>
      </c>
      <c r="AA23" s="5">
        <v>256</v>
      </c>
      <c r="AB23" s="14">
        <v>1788.5</v>
      </c>
      <c r="AC23" s="1">
        <f t="shared" si="24"/>
        <v>2568</v>
      </c>
      <c r="AD23" s="6">
        <f t="shared" si="20"/>
        <v>1.940173329605815</v>
      </c>
      <c r="AF23" s="5">
        <v>256</v>
      </c>
      <c r="AG23" s="14">
        <v>97495</v>
      </c>
      <c r="AH23" s="1">
        <f t="shared" si="25"/>
        <v>129600</v>
      </c>
      <c r="AI23" s="6">
        <f t="shared" si="21"/>
        <v>3.6620852351402635</v>
      </c>
    </row>
    <row r="24" spans="2:35" x14ac:dyDescent="0.25">
      <c r="Q24" s="5">
        <v>512</v>
      </c>
      <c r="R24" s="14">
        <v>433</v>
      </c>
      <c r="S24" s="1">
        <f t="shared" si="22"/>
        <v>512</v>
      </c>
      <c r="T24" s="6">
        <f t="shared" si="18"/>
        <v>4.1085450346420327</v>
      </c>
      <c r="V24" s="5">
        <v>512</v>
      </c>
      <c r="W24" s="14">
        <v>7294667</v>
      </c>
      <c r="X24" s="1">
        <f t="shared" si="23"/>
        <v>7237632</v>
      </c>
      <c r="Y24" s="6">
        <f t="shared" si="19"/>
        <v>7.8794759239866607</v>
      </c>
      <c r="AA24" s="5">
        <v>512</v>
      </c>
      <c r="AB24" s="14">
        <v>3470</v>
      </c>
      <c r="AC24" s="1">
        <f t="shared" si="24"/>
        <v>5136</v>
      </c>
      <c r="AD24" s="6">
        <f t="shared" si="20"/>
        <v>2.0147694524495678</v>
      </c>
      <c r="AF24" s="5">
        <v>512</v>
      </c>
      <c r="AG24" s="14">
        <v>357035</v>
      </c>
      <c r="AH24" s="1">
        <f t="shared" si="25"/>
        <v>518400</v>
      </c>
      <c r="AI24" s="6">
        <f t="shared" si="21"/>
        <v>3.7964765359138459</v>
      </c>
    </row>
    <row r="25" spans="2:35" x14ac:dyDescent="0.25">
      <c r="Q25" s="5">
        <v>1024</v>
      </c>
      <c r="R25" s="14">
        <v>1779</v>
      </c>
      <c r="S25" s="1">
        <f t="shared" si="22"/>
        <v>2048</v>
      </c>
      <c r="T25" s="6">
        <f t="shared" si="18"/>
        <v>3.8768971332209108</v>
      </c>
      <c r="V25" s="5">
        <v>1024</v>
      </c>
      <c r="W25" s="14">
        <v>57478153</v>
      </c>
      <c r="X25" s="1">
        <f t="shared" si="23"/>
        <v>57901056</v>
      </c>
      <c r="Y25" s="6">
        <f t="shared" si="19"/>
        <v>7.9729903986302411</v>
      </c>
      <c r="AA25" s="5">
        <v>1024</v>
      </c>
      <c r="AB25" s="14">
        <v>6991.25</v>
      </c>
      <c r="AC25" s="1">
        <f t="shared" si="24"/>
        <v>10272</v>
      </c>
      <c r="AD25" s="6">
        <f t="shared" si="20"/>
        <v>2.1948864652243878</v>
      </c>
      <c r="AF25" s="5">
        <v>1024</v>
      </c>
      <c r="AG25" s="14">
        <v>1355475</v>
      </c>
      <c r="AH25" s="1">
        <f t="shared" si="25"/>
        <v>2073600</v>
      </c>
      <c r="AI25" s="6">
        <f t="shared" si="21"/>
        <v>4.1677345579962743</v>
      </c>
    </row>
    <row r="26" spans="2:35" ht="15.75" thickBot="1" x14ac:dyDescent="0.3">
      <c r="Q26" s="7">
        <v>2048</v>
      </c>
      <c r="R26" s="8">
        <v>6897</v>
      </c>
      <c r="S26" s="1">
        <f t="shared" si="22"/>
        <v>8192</v>
      </c>
      <c r="T26" s="9"/>
      <c r="V26" s="7">
        <v>2048</v>
      </c>
      <c r="W26" s="8">
        <v>458272762</v>
      </c>
      <c r="X26" s="1">
        <f t="shared" si="23"/>
        <v>463208448</v>
      </c>
      <c r="Y26" s="9"/>
      <c r="AA26" s="7">
        <v>2048</v>
      </c>
      <c r="AB26" s="8">
        <v>15345</v>
      </c>
      <c r="AC26" s="1">
        <f t="shared" si="24"/>
        <v>20544</v>
      </c>
      <c r="AD26" s="9"/>
      <c r="AF26" s="7">
        <v>2048</v>
      </c>
      <c r="AG26" s="8">
        <v>5649260</v>
      </c>
      <c r="AH26" s="1">
        <f t="shared" si="25"/>
        <v>8294400</v>
      </c>
      <c r="AI26" s="9"/>
    </row>
    <row r="27" spans="2:35" x14ac:dyDescent="0.25">
      <c r="Q27" s="10" t="s">
        <v>3</v>
      </c>
      <c r="R27" s="11"/>
      <c r="S27" s="11"/>
      <c r="T27" s="12"/>
      <c r="V27" s="13" t="s">
        <v>6</v>
      </c>
      <c r="W27" s="11"/>
      <c r="X27" s="11"/>
      <c r="Y27" s="12"/>
      <c r="AA27" s="10" t="s">
        <v>7</v>
      </c>
      <c r="AB27" s="11"/>
      <c r="AC27" s="11"/>
      <c r="AD27" s="12"/>
      <c r="AF27" s="13" t="s">
        <v>8</v>
      </c>
      <c r="AG27" s="11"/>
      <c r="AH27" s="11"/>
      <c r="AI27" s="12"/>
    </row>
    <row r="28" spans="2:35" x14ac:dyDescent="0.25">
      <c r="Q28" t="s">
        <v>5</v>
      </c>
      <c r="V28" t="s">
        <v>4</v>
      </c>
      <c r="AA28" t="s">
        <v>9</v>
      </c>
      <c r="AF28" t="s">
        <v>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Moderator</dc:creator>
  <cp:lastModifiedBy>Moderator</cp:lastModifiedBy>
  <dcterms:created xsi:type="dcterms:W3CDTF">2015-06-05T18:17:20Z</dcterms:created>
  <dcterms:modified xsi:type="dcterms:W3CDTF">2025-01-08T15:30:33Z</dcterms:modified>
</cp:coreProperties>
</file>